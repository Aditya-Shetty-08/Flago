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35142B8-3CE9-4EB4-9F90-28B6BB4579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edback" sheetId="5" r:id="rId1"/>
    <sheet name="Features" sheetId="19" r:id="rId2"/>
    <sheet name="State Machine &amp; Upd. Controller" sheetId="6" r:id="rId3"/>
    <sheet name="Gherkin Step Definitions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5" l="1"/>
  <c r="A14" i="5" s="1"/>
  <c r="A5" i="20" l="1"/>
  <c r="A7" i="6"/>
  <c r="A1" i="20"/>
  <c r="A1" i="6"/>
  <c r="A40" i="5"/>
  <c r="A52" i="5" l="1"/>
  <c r="A48" i="5"/>
  <c r="A44" i="5" l="1"/>
  <c r="A36" i="5"/>
  <c r="A56" i="5" l="1"/>
  <c r="A6" i="19"/>
  <c r="A5" i="19"/>
  <c r="A9" i="19" l="1"/>
  <c r="A8" i="19" s="1"/>
  <c r="A7" i="5" l="1"/>
  <c r="A6" i="5"/>
  <c r="A5" i="5"/>
  <c r="A4" i="5"/>
  <c r="A3" i="5"/>
  <c r="A2" i="5"/>
  <c r="A8" i="5"/>
</calcChain>
</file>

<file path=xl/sharedStrings.xml><?xml version="1.0" encoding="utf-8"?>
<sst xmlns="http://schemas.openxmlformats.org/spreadsheetml/2006/main" count="112" uniqueCount="96">
  <si>
    <t>Total Marks</t>
  </si>
  <si>
    <t>An entry in column C only applies if there is a deduction in column B.</t>
  </si>
  <si>
    <t xml:space="preserve">/100 </t>
  </si>
  <si>
    <t>Comments:</t>
  </si>
  <si>
    <t>Member 1</t>
  </si>
  <si>
    <t>Member 1:</t>
  </si>
  <si>
    <t>Member 2:</t>
  </si>
  <si>
    <t>Member 3:</t>
  </si>
  <si>
    <t>Member 4:</t>
  </si>
  <si>
    <t>Member 5:</t>
  </si>
  <si>
    <t>Member 6:</t>
  </si>
  <si>
    <t>ACCEPTANCE TEST</t>
  </si>
  <si>
    <t>nrTests</t>
  </si>
  <si>
    <t>nrFails</t>
  </si>
  <si>
    <t>/100</t>
  </si>
  <si>
    <t>Member 2</t>
  </si>
  <si>
    <t>Member 3</t>
  </si>
  <si>
    <t>Member 4</t>
  </si>
  <si>
    <t>Member 5</t>
  </si>
  <si>
    <t>Member 6</t>
  </si>
  <si>
    <t>%</t>
  </si>
  <si>
    <t>/5 Clear Statement of Work Distribution (team mark)</t>
  </si>
  <si>
    <t>statement is missing (-5), statement is partially filled (-3), minor mistake in statement (-1)</t>
  </si>
  <si>
    <t>Deduction for lack of GitHub contributions (individual mark)</t>
  </si>
  <si>
    <t>(see Gherkin specifications for Iteration 3)</t>
  </si>
  <si>
    <t>Scenario</t>
  </si>
  <si>
    <t>/10 Correctness and completeness of state machine(s) specification in Umple (team mark)</t>
  </si>
  <si>
    <t>persistence layer is missing (-5), major issue with persistence layer (-3), minor issue with persistence layer (-1)</t>
  </si>
  <si>
    <t>gradle project does not build and its folder structure is incorrect (-2), gradle project does not build but its folder structure is correct (-1), folder structure of grade project is incorrect (-0.5)</t>
  </si>
  <si>
    <t>/2 Correctness of project build and setup (team mark)</t>
  </si>
  <si>
    <t xml:space="preserve">diagram not included (-5); diagram not legible (-4); diagram does not match Umple specification (-3); elements not visualized by Umple not added to the diagram (-1) </t>
  </si>
  <si>
    <t>/5 Description of each transition in state machine(s) (team mark)</t>
  </si>
  <si>
    <t>/5 UML state machine diagram (team mark)</t>
  </si>
  <si>
    <t>Late Penalty</t>
  </si>
  <si>
    <t>Member 7:</t>
  </si>
  <si>
    <t>description is missing or incorrect for: all transitions (-5); most transitions (-4); several transitions (-3); two transitions (-2); one transition (-1)</t>
  </si>
  <si>
    <t>Member 7</t>
  </si>
  <si>
    <t>generated code does not compile (-3), generated code has been manually updated (-2), incorrect package (-1)</t>
  </si>
  <si>
    <t>/10 Implementation of state machine(s) and updated Controller</t>
  </si>
  <si>
    <t>/30 Execution of acceptance tests</t>
  </si>
  <si>
    <t>/5 Correctness and completeness of Persistence layer (team mark)</t>
  </si>
  <si>
    <t>/15 Implementation of Gherkin step definitions</t>
  </si>
  <si>
    <t>/5 Documentation of Gherkin step definitions (for all manually implemented methods)</t>
  </si>
  <si>
    <t>/5 Documentation of state machine(s) and updated Controller (for all manually implemented methods)</t>
  </si>
  <si>
    <t>@author not provided for step definition methods: one (-1), two (-2), at least three (-3), most (-4); all (-5)</t>
  </si>
  <si>
    <t>(-1) for each issue up to a maximum of 5 isssues</t>
  </si>
  <si>
    <t>(-1) for each issue up to a maximum of 6 isssues</t>
  </si>
  <si>
    <t>(-3) step definitions for When do not call the Controller</t>
  </si>
  <si>
    <t>(-3) step definitions for Then do not call the Model or do not contain assertions</t>
  </si>
  <si>
    <t>(-5) Controller queries the state of the state machine or performs actions based on a state</t>
  </si>
  <si>
    <t>more details not provided for manually implemented state machine methods: one (-0.5), two (-1), at least three (-1.5), most (-2)</t>
  </si>
  <si>
    <t>more details not provided for public Controller methods: one (-0.5), two (-1), at least three (-1.5), most (-2)</t>
  </si>
  <si>
    <t>@author not provided for private Controller methods: one or two (-0.5), at least three (-1)</t>
  </si>
  <si>
    <t>Member 1: no individual branch (-5); individual branch but no merge commit (-3)</t>
  </si>
  <si>
    <t>Member 2: no individual branch (-5); individual branch but no merge commit (-3)</t>
  </si>
  <si>
    <t>Member 3: no individual branch (-5); individual branch but no merge commit (-3)</t>
  </si>
  <si>
    <t>Member 4: no individual branch (-5); individual branch but no merge commit (-3)</t>
  </si>
  <si>
    <t>Member 5: no individual branch (-5); individual branch but no merge commit (-3)</t>
  </si>
  <si>
    <t>Member 6: no individual branch (-5); individual branch but no merge commit (-3)</t>
  </si>
  <si>
    <t>Member 7: no individual branch (-5); individual branch but no merge commit (-3)</t>
  </si>
  <si>
    <t>/3 Correctness of generated code (team mark)</t>
  </si>
  <si>
    <t>(-3) step definitions for Given call the Controller instead of the Model (except when bringing a test object into the desired state)</t>
  </si>
  <si>
    <t>Final (-1)</t>
  </si>
  <si>
    <t>(see sample solution)</t>
  </si>
  <si>
    <t>transitions for exceptions missing: more than one (-1); some (-2); many (-3); most (-4)</t>
  </si>
  <si>
    <t>Adjustment Factor applied to individually graded parts [0.1]</t>
  </si>
  <si>
    <t>See other worksheets for further feedback.</t>
  </si>
  <si>
    <t>Idle (-1)</t>
  </si>
  <si>
    <t>AtEntranceNotFacingAisle (-1)</t>
  </si>
  <si>
    <t>AtEntranceFacingAisle (-1)</t>
  </si>
  <si>
    <t>AtCheeseWheel (-1)</t>
  </si>
  <si>
    <t>Idle: initialize(...) [shelfExists(...)] / { doInitialize(...); } -&gt; AtEntranceNotFacingAisle (-2)</t>
  </si>
  <si>
    <t>Idle: deactivate -&gt; Final (-1)</t>
  </si>
  <si>
    <t>AtEntranceNotFacingAisle: goToShelf(...) [shelfExists(...)] / { doGoToShelf(...); } -&gt; AtEntranceNotFacingAisle (-2)</t>
  </si>
  <si>
    <t>AtEntranceNotFacingAisle: deactivate -&gt; Final (-1)</t>
  </si>
  <si>
    <t>AtEntranceNotFacingAisle: turnLeft / { doTurnLeft(); } -&gt; AtEntranceFacingAisle (-1.5)</t>
  </si>
  <si>
    <t>AtEntranceFacingAisle: turnRight / { doTurnRight(); } -&gt; AtEntranceNotFacingAisle (-1.5)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</si>
  <si>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AgingTreatment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</si>
  <si>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RobotMovement</t>
    </r>
  </si>
  <si>
    <t>AtEntranceNotFacingAisle: treatPurchase -&gt; AtEntranceNotFacingAisle (no deduction if missing)</t>
  </si>
  <si>
    <t>AtEntranceFacingAisle: goToCheeseWheel(...) [isOnCurrentShelf(…)] / { doGoToCheeseWheel(…); } -&gt; AtCheeseWheel (-2)</t>
  </si>
  <si>
    <t>AtCheeseWheel: treatCheeseWheel / { doTreatCheeseWheel(); } -&gt; AtCheeseWheel (-1.5)</t>
  </si>
  <si>
    <t>AtCheeseWheel: goToCheeseWheel(...) [isOnCurrentShelf(…)] / { doGoToCheeseWheel(…); } -&gt; AtCheeseWheel (-2)</t>
  </si>
  <si>
    <t>AtCheeseWheel: goToEntrance / { doGoToEntrance(); } -&gt; AtEntranceFacingAisle (-1.5)</t>
  </si>
  <si>
    <t>Line 246 in WholesalCompany uses variable wholesalecompaniesByName which doesn’t exist leading to build failure</t>
  </si>
  <si>
    <t>Simon Wang</t>
  </si>
  <si>
    <t>Benjamin Coriat</t>
  </si>
  <si>
    <t>Jiahao Li</t>
  </si>
  <si>
    <t>Noah Venturelli</t>
  </si>
  <si>
    <t>Lazarus Sarghi</t>
  </si>
  <si>
    <t>Aditya Shetty</t>
  </si>
  <si>
    <t>George Zhou</t>
  </si>
  <si>
    <t>Persistence.ump line 64 calls a variable which doesn’t exist leading to compilation error</t>
  </si>
  <si>
    <t>Some merge commit links are missing, some do not work</t>
  </si>
  <si>
    <t>/24.5 (points) missing or incorrect states, transitions, events, conditions, actions</t>
  </si>
  <si>
    <t>When step for RobotMovement (All) must directly call the statemachine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</si>
</sst>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4" borderId="0" xfId="0" applyFont="1" applyFill="1"/>
    <xf numFmtId="0" fontId="0" fillId="2" borderId="1" xfId="0" applyFill="1" applyBorder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wrapText="1"/>
    </xf>
    <xf numFmtId="0" fontId="0" fillId="3" borderId="2" xfId="0" applyFill="1" applyBorder="1" applyAlignment="1">
      <alignment vertical="top"/>
    </xf>
    <xf numFmtId="0" fontId="0" fillId="3" borderId="2" xfId="0" quotePrefix="1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0" borderId="4" xfId="0" applyBorder="1" applyAlignment="1">
      <alignment vertical="top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7" xfId="0" applyFont="1" applyFill="1" applyBorder="1"/>
    <xf numFmtId="0" fontId="3" fillId="0" borderId="0" xfId="0" applyFont="1"/>
    <xf numFmtId="0" fontId="0" fillId="0" borderId="6" xfId="0" applyBorder="1" applyAlignment="1">
      <alignment vertical="top"/>
    </xf>
    <xf numFmtId="0" fontId="0" fillId="0" borderId="6" xfId="0" applyBorder="1"/>
    <xf numFmtId="0" fontId="0" fillId="3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3" borderId="10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5" borderId="5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0" borderId="3" xfId="0" applyBorder="1" applyAlignment="1">
      <alignment horizontal="left" vertical="center"/>
    </xf>
    <xf numFmtId="0" fontId="4" fillId="0" borderId="0" xfId="0" quotePrefix="1" applyFont="1" applyAlignment="1">
      <alignment wrapText="1"/>
    </xf>
    <xf numFmtId="0" fontId="0" fillId="0" borderId="6" xfId="0" applyBorder="1" applyAlignment="1">
      <alignment horizontal="left" wrapText="1"/>
    </xf>
    <xf numFmtId="0" fontId="0" fillId="5" borderId="6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3" borderId="10" xfId="0" applyFill="1" applyBorder="1"/>
    <xf numFmtId="0" fontId="0" fillId="3" borderId="0" xfId="0" applyFill="1"/>
    <xf numFmtId="0" fontId="0" fillId="2" borderId="1" xfId="0" applyFill="1" applyBorder="1" applyAlignment="1">
      <alignment horizontal="right"/>
    </xf>
    <xf numFmtId="0" fontId="4" fillId="5" borderId="0" xfId="0" applyFont="1" applyFill="1"/>
    <xf numFmtId="0" fontId="3" fillId="0" borderId="0" xfId="0" applyFont="1" applyAlignment="1">
      <alignment horizontal="left"/>
    </xf>
    <xf numFmtId="0" fontId="8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4" fillId="0" borderId="4" xfId="0" quotePrefix="1" applyFont="1" applyBorder="1" applyAlignment="1">
      <alignment horizontal="left" vertical="top" wrapText="1"/>
    </xf>
    <xf numFmtId="0" fontId="0" fillId="0" borderId="2" xfId="0" quotePrefix="1" applyBorder="1" applyAlignment="1">
      <alignment horizontal="left" wrapText="1"/>
    </xf>
    <xf numFmtId="0" fontId="0" fillId="0" borderId="0" xfId="0" applyAlignment="1">
      <alignment horizontal="left"/>
    </xf>
    <xf numFmtId="0" fontId="7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quotePrefix="1" applyFont="1" applyBorder="1" applyAlignment="1">
      <alignment horizontal="left" wrapText="1"/>
    </xf>
    <xf numFmtId="0" fontId="4" fillId="0" borderId="4" xfId="0" quotePrefix="1" applyFont="1" applyBorder="1" applyAlignment="1">
      <alignment horizontal="left" wrapText="1"/>
    </xf>
    <xf numFmtId="0" fontId="4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zoomScaleNormal="100" workbookViewId="0"/>
  </sheetViews>
  <sheetFormatPr defaultRowHeight="14.5" x14ac:dyDescent="0.35"/>
  <cols>
    <col min="2" max="3" width="13.453125" style="1" customWidth="1"/>
    <col min="4" max="4" width="55.54296875" style="2" customWidth="1"/>
    <col min="5" max="16" width="5.7265625" customWidth="1"/>
  </cols>
  <sheetData>
    <row r="1" spans="1:16" x14ac:dyDescent="0.35">
      <c r="A1" s="3" t="s">
        <v>0</v>
      </c>
      <c r="B1" s="7"/>
      <c r="C1" s="7"/>
      <c r="D1" s="8"/>
      <c r="E1" s="8"/>
      <c r="F1" s="8"/>
    </row>
    <row r="2" spans="1:16" x14ac:dyDescent="0.35">
      <c r="A2" s="5">
        <f>A$14+(Features!A$8+'State Machine &amp; Upd. Controller'!A$1+'State Machine &amp; Upd. Controller'!A$7+'Gherkin Step Definitions'!A$1+'Gherkin Step Definitions'!A$5)*B70+A$36+A$40+A$44+A$48+A$52+A$56+B61-A$9</f>
        <v>92</v>
      </c>
      <c r="B2" t="s">
        <v>2</v>
      </c>
      <c r="C2" s="13" t="s">
        <v>5</v>
      </c>
      <c r="D2" s="22" t="s">
        <v>85</v>
      </c>
      <c r="E2" s="23"/>
      <c r="F2" s="23"/>
    </row>
    <row r="3" spans="1:16" x14ac:dyDescent="0.35">
      <c r="A3" s="5">
        <f>A$14+(Features!A$8+'State Machine &amp; Upd. Controller'!A$1+'State Machine &amp; Upd. Controller'!A$7+'Gherkin Step Definitions'!A$1+'Gherkin Step Definitions'!A$5)*B71+A$36+A$40+A$44+A$48+A$52+A$56+B62-A$9</f>
        <v>89</v>
      </c>
      <c r="B3" t="s">
        <v>2</v>
      </c>
      <c r="C3" s="14" t="s">
        <v>6</v>
      </c>
      <c r="D3" s="31" t="s">
        <v>86</v>
      </c>
      <c r="E3" s="32"/>
      <c r="F3" s="32"/>
    </row>
    <row r="4" spans="1:16" x14ac:dyDescent="0.35">
      <c r="A4" s="5">
        <f>A$14+(Features!A$8+'State Machine &amp; Upd. Controller'!A$1+'State Machine &amp; Upd. Controller'!A$7+'Gherkin Step Definitions'!A$1+'Gherkin Step Definitions'!A$5)*B72+A$36+A$40+A$44+A$48+A$52+A$56+B63-A$9</f>
        <v>89</v>
      </c>
      <c r="B4" t="s">
        <v>2</v>
      </c>
      <c r="C4" s="14" t="s">
        <v>7</v>
      </c>
      <c r="D4" s="31" t="s">
        <v>87</v>
      </c>
      <c r="E4" s="32"/>
      <c r="F4" s="32"/>
    </row>
    <row r="5" spans="1:16" x14ac:dyDescent="0.35">
      <c r="A5" s="5">
        <f>A$14+(Features!A$8+'State Machine &amp; Upd. Controller'!A$1+'State Machine &amp; Upd. Controller'!A$7+'Gherkin Step Definitions'!A$1+'Gherkin Step Definitions'!A$5)*B73+A$36+A$40+A$44+A$48+A$52+A$56+B64-A$9</f>
        <v>89</v>
      </c>
      <c r="B5" t="s">
        <v>2</v>
      </c>
      <c r="C5" s="14" t="s">
        <v>8</v>
      </c>
      <c r="D5" s="31" t="s">
        <v>88</v>
      </c>
      <c r="E5" s="32"/>
      <c r="F5" s="32"/>
    </row>
    <row r="6" spans="1:16" x14ac:dyDescent="0.35">
      <c r="A6" s="5">
        <f>A$14+(Features!A$8+'State Machine &amp; Upd. Controller'!A$1+'State Machine &amp; Upd. Controller'!A$7+'Gherkin Step Definitions'!A$1+'Gherkin Step Definitions'!A$5)*B74+A$36+A$40+A$44+A$48+A$52+A$56+B65-A$9</f>
        <v>89</v>
      </c>
      <c r="B6" t="s">
        <v>2</v>
      </c>
      <c r="C6" s="14" t="s">
        <v>9</v>
      </c>
      <c r="D6" s="31" t="s">
        <v>89</v>
      </c>
      <c r="E6" s="32"/>
      <c r="F6" s="32"/>
    </row>
    <row r="7" spans="1:16" x14ac:dyDescent="0.35">
      <c r="A7" s="5">
        <f>A$14+(Features!A$8+'State Machine &amp; Upd. Controller'!A$1+'State Machine &amp; Upd. Controller'!A$7+'Gherkin Step Definitions'!A$1+'Gherkin Step Definitions'!A$5)*B75+A$36+A$40+A$44+A$48+A$52+A$56+B66-A$9</f>
        <v>92</v>
      </c>
      <c r="B7" t="s">
        <v>2</v>
      </c>
      <c r="C7" s="14" t="s">
        <v>10</v>
      </c>
      <c r="D7" s="31" t="s">
        <v>90</v>
      </c>
      <c r="E7" s="32"/>
      <c r="F7" s="32"/>
    </row>
    <row r="8" spans="1:16" x14ac:dyDescent="0.35">
      <c r="A8" s="5">
        <f>A$14+(Features!A$8+'State Machine &amp; Upd. Controller'!A$1+'State Machine &amp; Upd. Controller'!A$7+'Gherkin Step Definitions'!A$1+'Gherkin Step Definitions'!A$5)*B76+A$36+A$40+A$44+A$48+A$52+A$56+B67-A$9</f>
        <v>89</v>
      </c>
      <c r="B8" t="s">
        <v>2</v>
      </c>
      <c r="C8" s="15" t="s">
        <v>34</v>
      </c>
      <c r="D8" s="31" t="s">
        <v>91</v>
      </c>
      <c r="E8" s="32"/>
      <c r="F8" s="32"/>
    </row>
    <row r="9" spans="1:16" x14ac:dyDescent="0.35">
      <c r="A9" s="34"/>
      <c r="B9" s="1" t="s">
        <v>33</v>
      </c>
    </row>
    <row r="11" spans="1:16" x14ac:dyDescent="0.35">
      <c r="A11" s="37" t="s">
        <v>1</v>
      </c>
      <c r="B11" s="37"/>
      <c r="C11" s="37"/>
      <c r="D11" s="37"/>
    </row>
    <row r="12" spans="1:16" x14ac:dyDescent="0.35">
      <c r="A12" s="35" t="s">
        <v>66</v>
      </c>
      <c r="B12" s="35"/>
      <c r="C12" s="35"/>
      <c r="D12" s="35"/>
    </row>
    <row r="14" spans="1:16" x14ac:dyDescent="0.35">
      <c r="A14" s="33">
        <f>ROUNDUP(10*B16/24.5,1)</f>
        <v>10</v>
      </c>
      <c r="B14" s="38" t="s">
        <v>26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/>
    </row>
    <row r="15" spans="1:16" x14ac:dyDescent="0.35">
      <c r="A15" s="44" t="s">
        <v>63</v>
      </c>
      <c r="B15" s="44"/>
      <c r="C15" s="44"/>
      <c r="D15" s="44"/>
      <c r="E15" s="44"/>
      <c r="F15" s="44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ht="14.5" customHeight="1" x14ac:dyDescent="0.35">
      <c r="B16" s="6">
        <f>24.5+SUM(B17:B33)</f>
        <v>24.5</v>
      </c>
      <c r="C16" s="41" t="s">
        <v>94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2:16" ht="14.5" customHeight="1" x14ac:dyDescent="0.35">
      <c r="B17" s="11">
        <v>0</v>
      </c>
      <c r="C17" s="41" t="s">
        <v>67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2:16" ht="14.5" customHeight="1" x14ac:dyDescent="0.35">
      <c r="B18" s="11">
        <v>0</v>
      </c>
      <c r="C18" s="41" t="s">
        <v>68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spans="2:16" ht="14.5" customHeight="1" x14ac:dyDescent="0.35">
      <c r="B19" s="11">
        <v>0</v>
      </c>
      <c r="C19" s="41" t="s">
        <v>69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spans="2:16" ht="14.5" customHeight="1" x14ac:dyDescent="0.35">
      <c r="B20" s="11">
        <v>0</v>
      </c>
      <c r="C20" s="41" t="s">
        <v>70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spans="2:16" ht="14.5" customHeight="1" x14ac:dyDescent="0.35">
      <c r="B21" s="11">
        <v>0</v>
      </c>
      <c r="C21" s="41" t="s">
        <v>62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spans="2:16" x14ac:dyDescent="0.35">
      <c r="B22" s="11">
        <v>0</v>
      </c>
      <c r="C22" s="41" t="s">
        <v>71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spans="2:16" ht="14.5" customHeight="1" x14ac:dyDescent="0.35">
      <c r="B23" s="11">
        <v>0</v>
      </c>
      <c r="C23" s="41" t="s">
        <v>72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2:16" ht="14.5" customHeight="1" x14ac:dyDescent="0.35">
      <c r="B24" s="11"/>
      <c r="C24" s="45" t="s">
        <v>79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2:16" x14ac:dyDescent="0.35">
      <c r="B25" s="11">
        <v>0</v>
      </c>
      <c r="C25" s="41" t="s">
        <v>75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2:16" ht="14.5" customHeight="1" x14ac:dyDescent="0.35">
      <c r="B26" s="11">
        <v>0</v>
      </c>
      <c r="C26" s="41" t="s">
        <v>73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spans="2:16" ht="14.5" customHeight="1" x14ac:dyDescent="0.35">
      <c r="B27" s="11">
        <v>0</v>
      </c>
      <c r="C27" s="41" t="s">
        <v>74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2:16" ht="14.5" customHeight="1" x14ac:dyDescent="0.35">
      <c r="B28" s="11">
        <v>0</v>
      </c>
      <c r="C28" s="41" t="s">
        <v>80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2:16" ht="14.5" customHeight="1" x14ac:dyDescent="0.35">
      <c r="B29" s="11">
        <v>0</v>
      </c>
      <c r="C29" s="41" t="s">
        <v>76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2:16" ht="14.5" customHeight="1" x14ac:dyDescent="0.35">
      <c r="B30" s="11">
        <v>0</v>
      </c>
      <c r="C30" s="41" t="s">
        <v>81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2:16" ht="14.5" customHeight="1" x14ac:dyDescent="0.35">
      <c r="B31" s="11">
        <v>0</v>
      </c>
      <c r="C31" s="41" t="s">
        <v>82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ht="14.5" customHeight="1" x14ac:dyDescent="0.35">
      <c r="B32" s="11">
        <v>0</v>
      </c>
      <c r="C32" s="41" t="s">
        <v>83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 spans="1:16" x14ac:dyDescent="0.35">
      <c r="B33" s="9">
        <v>0</v>
      </c>
      <c r="C33" s="41" t="s">
        <v>64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 spans="1:16" ht="14.5" customHeight="1" x14ac:dyDescent="0.35">
      <c r="B34" s="1" t="s">
        <v>3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</row>
    <row r="36" spans="1:16" x14ac:dyDescent="0.35">
      <c r="A36" s="4">
        <f>5+MIN(MAX(SUM(B37),-5),0)</f>
        <v>5</v>
      </c>
      <c r="B36" s="38" t="s">
        <v>40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0"/>
    </row>
    <row r="37" spans="1:16" x14ac:dyDescent="0.35">
      <c r="B37" s="11">
        <v>0</v>
      </c>
      <c r="C37" s="41" t="s">
        <v>27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</row>
    <row r="38" spans="1:16" ht="15" customHeight="1" x14ac:dyDescent="0.35">
      <c r="B38" s="1" t="s">
        <v>3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40" spans="1:16" x14ac:dyDescent="0.35">
      <c r="A40" s="4">
        <f>3+MIN(MAX(SUM(B41),-3),0)</f>
        <v>0</v>
      </c>
      <c r="B40" s="38" t="s">
        <v>60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40"/>
    </row>
    <row r="41" spans="1:16" x14ac:dyDescent="0.35">
      <c r="B41" s="11">
        <v>-3</v>
      </c>
      <c r="C41" s="41" t="s">
        <v>37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ht="15" customHeight="1" x14ac:dyDescent="0.35">
      <c r="B42" s="1" t="s">
        <v>3</v>
      </c>
      <c r="C42" s="42" t="s">
        <v>92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</row>
    <row r="44" spans="1:16" x14ac:dyDescent="0.35">
      <c r="A44" s="4">
        <f>2+MIN(MAX(SUM(B45),-2),0)</f>
        <v>1</v>
      </c>
      <c r="B44" s="38" t="s">
        <v>29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40"/>
    </row>
    <row r="45" spans="1:16" ht="30" customHeight="1" x14ac:dyDescent="0.35">
      <c r="B45" s="11">
        <v>-1</v>
      </c>
      <c r="C45" s="41" t="s">
        <v>28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 ht="15" customHeight="1" x14ac:dyDescent="0.35">
      <c r="B46" s="1" t="s">
        <v>3</v>
      </c>
      <c r="C46" s="42" t="s">
        <v>84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8" spans="1:16" x14ac:dyDescent="0.35">
      <c r="A48" s="4">
        <f>5+MIN(MAX(SUM(B49),-5),0)</f>
        <v>5</v>
      </c>
      <c r="B48" s="38" t="s">
        <v>32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40"/>
    </row>
    <row r="49" spans="1:16" x14ac:dyDescent="0.35">
      <c r="B49" s="11">
        <v>0</v>
      </c>
      <c r="C49" s="41" t="s">
        <v>30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 ht="14.5" customHeight="1" x14ac:dyDescent="0.35">
      <c r="B50" s="1" t="s">
        <v>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1:16" x14ac:dyDescent="0.35">
      <c r="C51" s="27"/>
    </row>
    <row r="52" spans="1:16" x14ac:dyDescent="0.35">
      <c r="A52" s="4">
        <f>5+MIN(MAX(SUM(B53),-5),0)</f>
        <v>5</v>
      </c>
      <c r="B52" s="38" t="s">
        <v>31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40"/>
    </row>
    <row r="53" spans="1:16" ht="14.5" customHeight="1" x14ac:dyDescent="0.35">
      <c r="B53" s="11">
        <v>0</v>
      </c>
      <c r="C53" s="41" t="s">
        <v>35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6" ht="14.5" customHeight="1" x14ac:dyDescent="0.35">
      <c r="B54" s="1" t="s">
        <v>3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</row>
    <row r="55" spans="1:16" x14ac:dyDescent="0.35">
      <c r="C55" s="27"/>
    </row>
    <row r="56" spans="1:16" x14ac:dyDescent="0.35">
      <c r="A56" s="4">
        <f>5+MAX(SUM(B57),-5)</f>
        <v>5</v>
      </c>
      <c r="B56" s="38" t="s">
        <v>21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40"/>
    </row>
    <row r="57" spans="1:16" ht="14.5" customHeight="1" x14ac:dyDescent="0.35">
      <c r="B57" s="24"/>
      <c r="C57" s="43" t="s">
        <v>22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 ht="14.5" customHeight="1" x14ac:dyDescent="0.35">
      <c r="B58" s="12" t="s">
        <v>3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</row>
    <row r="60" spans="1:16" x14ac:dyDescent="0.35">
      <c r="A60" s="38" t="s">
        <v>23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40"/>
    </row>
    <row r="61" spans="1:16" ht="14.5" customHeight="1" x14ac:dyDescent="0.35">
      <c r="B61" s="24">
        <v>0</v>
      </c>
      <c r="C61" s="41" t="s">
        <v>53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 ht="14.5" customHeight="1" x14ac:dyDescent="0.35">
      <c r="B62" s="24">
        <v>-3</v>
      </c>
      <c r="C62" s="41" t="s">
        <v>54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16" ht="14.5" customHeight="1" x14ac:dyDescent="0.35">
      <c r="B63" s="24">
        <v>-3</v>
      </c>
      <c r="C63" s="41" t="s">
        <v>55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 spans="1:16" ht="14.5" customHeight="1" x14ac:dyDescent="0.35">
      <c r="B64" s="24">
        <v>-3</v>
      </c>
      <c r="C64" s="41" t="s">
        <v>56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:16" ht="14.5" customHeight="1" x14ac:dyDescent="0.35">
      <c r="B65" s="24">
        <v>-3</v>
      </c>
      <c r="C65" s="41" t="s">
        <v>57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1:16" ht="14.5" customHeight="1" x14ac:dyDescent="0.35">
      <c r="B66" s="25">
        <v>0</v>
      </c>
      <c r="C66" s="41" t="s">
        <v>58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1:16" ht="14.5" customHeight="1" x14ac:dyDescent="0.35">
      <c r="B67" s="25">
        <v>-3</v>
      </c>
      <c r="C67" s="41" t="s">
        <v>59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1:16" x14ac:dyDescent="0.35">
      <c r="B68" s="36" t="s">
        <v>93</v>
      </c>
    </row>
    <row r="69" spans="1:16" x14ac:dyDescent="0.35">
      <c r="A69" s="38" t="s">
        <v>65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40"/>
    </row>
    <row r="70" spans="1:16" x14ac:dyDescent="0.35">
      <c r="B70" s="24">
        <v>1</v>
      </c>
      <c r="C70" s="41" t="s">
        <v>4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1:16" x14ac:dyDescent="0.35">
      <c r="B71" s="24">
        <v>1</v>
      </c>
      <c r="C71" s="41" t="s">
        <v>15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1:16" x14ac:dyDescent="0.35">
      <c r="B72" s="24">
        <v>1</v>
      </c>
      <c r="C72" s="41" t="s">
        <v>16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1:16" x14ac:dyDescent="0.35">
      <c r="B73" s="24">
        <v>1</v>
      </c>
      <c r="C73" s="41" t="s">
        <v>17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1:16" x14ac:dyDescent="0.35">
      <c r="B74" s="24">
        <v>1</v>
      </c>
      <c r="C74" s="41" t="s">
        <v>18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1:16" x14ac:dyDescent="0.35">
      <c r="B75" s="25">
        <v>1</v>
      </c>
      <c r="C75" s="41" t="s">
        <v>19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1:16" x14ac:dyDescent="0.35">
      <c r="B76" s="25">
        <v>1</v>
      </c>
      <c r="C76" s="41" t="s">
        <v>36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</sheetData>
  <mergeCells count="56">
    <mergeCell ref="C32:P32"/>
    <mergeCell ref="A15:F15"/>
    <mergeCell ref="C29:P29"/>
    <mergeCell ref="C30:P30"/>
    <mergeCell ref="C31:P31"/>
    <mergeCell ref="C21:P21"/>
    <mergeCell ref="C18:P18"/>
    <mergeCell ref="C19:P19"/>
    <mergeCell ref="C20:P20"/>
    <mergeCell ref="C24:P24"/>
    <mergeCell ref="C75:P75"/>
    <mergeCell ref="C76:P76"/>
    <mergeCell ref="C67:P67"/>
    <mergeCell ref="A69:P69"/>
    <mergeCell ref="C70:P70"/>
    <mergeCell ref="C71:P71"/>
    <mergeCell ref="C72:P72"/>
    <mergeCell ref="C63:P63"/>
    <mergeCell ref="C64:P64"/>
    <mergeCell ref="C73:P73"/>
    <mergeCell ref="C74:P74"/>
    <mergeCell ref="C65:P65"/>
    <mergeCell ref="C66:P66"/>
    <mergeCell ref="C58:P58"/>
    <mergeCell ref="C57:P57"/>
    <mergeCell ref="A60:P60"/>
    <mergeCell ref="C61:P61"/>
    <mergeCell ref="C62:P62"/>
    <mergeCell ref="B44:P44"/>
    <mergeCell ref="C45:P45"/>
    <mergeCell ref="B36:P36"/>
    <mergeCell ref="C37:P37"/>
    <mergeCell ref="C38:P38"/>
    <mergeCell ref="C42:P42"/>
    <mergeCell ref="C46:P46"/>
    <mergeCell ref="B52:P52"/>
    <mergeCell ref="C53:P53"/>
    <mergeCell ref="B56:P56"/>
    <mergeCell ref="C50:P50"/>
    <mergeCell ref="C54:P54"/>
    <mergeCell ref="A11:D11"/>
    <mergeCell ref="B40:P40"/>
    <mergeCell ref="C41:P41"/>
    <mergeCell ref="B48:P48"/>
    <mergeCell ref="C49:P49"/>
    <mergeCell ref="C34:P34"/>
    <mergeCell ref="B14:P14"/>
    <mergeCell ref="C33:P33"/>
    <mergeCell ref="C23:P23"/>
    <mergeCell ref="C25:P25"/>
    <mergeCell ref="C27:P27"/>
    <mergeCell ref="C28:P28"/>
    <mergeCell ref="C26:P26"/>
    <mergeCell ref="C22:P22"/>
    <mergeCell ref="C16:P16"/>
    <mergeCell ref="C17:P17"/>
  </mergeCells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9B36-644C-4DDD-AFD7-70F5E6D2B019}">
  <dimension ref="A1:D9"/>
  <sheetViews>
    <sheetView zoomScaleNormal="100" workbookViewId="0"/>
  </sheetViews>
  <sheetFormatPr defaultRowHeight="14.5" x14ac:dyDescent="0.35"/>
  <cols>
    <col min="2" max="2" width="62.6328125" customWidth="1"/>
    <col min="3" max="3" width="6.90625" bestFit="1" customWidth="1"/>
    <col min="4" max="4" width="6.26953125" bestFit="1" customWidth="1"/>
  </cols>
  <sheetData>
    <row r="1" spans="1:4" x14ac:dyDescent="0.35">
      <c r="A1" s="16" t="s">
        <v>11</v>
      </c>
      <c r="B1" s="1"/>
    </row>
    <row r="2" spans="1:4" x14ac:dyDescent="0.35">
      <c r="A2" t="s">
        <v>24</v>
      </c>
      <c r="B2" s="1"/>
    </row>
    <row r="3" spans="1:4" x14ac:dyDescent="0.35">
      <c r="B3" s="1"/>
    </row>
    <row r="4" spans="1:4" x14ac:dyDescent="0.35">
      <c r="A4" s="21" t="s">
        <v>14</v>
      </c>
      <c r="B4" s="17" t="s">
        <v>25</v>
      </c>
      <c r="C4" s="18" t="s">
        <v>12</v>
      </c>
      <c r="D4" s="18" t="s">
        <v>13</v>
      </c>
    </row>
    <row r="5" spans="1:4" ht="14.5" customHeight="1" x14ac:dyDescent="0.35">
      <c r="A5" s="20">
        <f>ROUND((C5-D5)/C5*100,0)</f>
        <v>100</v>
      </c>
      <c r="B5" s="26" t="s">
        <v>77</v>
      </c>
      <c r="C5" s="29">
        <v>44</v>
      </c>
      <c r="D5" s="19">
        <v>0</v>
      </c>
    </row>
    <row r="6" spans="1:4" ht="14.5" customHeight="1" x14ac:dyDescent="0.35">
      <c r="A6" s="20">
        <f t="shared" ref="A6" si="0">ROUND((C6-D6)/C6*100,0)</f>
        <v>100</v>
      </c>
      <c r="B6" s="26" t="s">
        <v>78</v>
      </c>
      <c r="C6" s="29">
        <v>43</v>
      </c>
      <c r="D6" s="19">
        <v>0</v>
      </c>
    </row>
    <row r="8" spans="1:4" ht="14.5" customHeight="1" x14ac:dyDescent="0.35">
      <c r="A8" s="6">
        <f>ROUND(30*A9/100,1)</f>
        <v>30</v>
      </c>
      <c r="B8" s="28" t="s">
        <v>39</v>
      </c>
    </row>
    <row r="9" spans="1:4" x14ac:dyDescent="0.35">
      <c r="A9" s="6">
        <f>ROUND(SUM(A5:A6)/COUNT(A5:A6),2)</f>
        <v>100</v>
      </c>
      <c r="B9" s="2" t="s">
        <v>20</v>
      </c>
    </row>
  </sheetData>
  <pageMargins left="0.7" right="0.7" top="0.75" bottom="0.75" header="0.3" footer="0.3"/>
  <pageSetup scale="61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zoomScaleNormal="100" workbookViewId="0"/>
  </sheetViews>
  <sheetFormatPr defaultRowHeight="14.5" x14ac:dyDescent="0.35"/>
  <cols>
    <col min="1" max="1" width="13.453125" style="1" customWidth="1"/>
    <col min="2" max="2" width="55.54296875" style="2" customWidth="1"/>
    <col min="3" max="14" width="5.7265625" customWidth="1"/>
  </cols>
  <sheetData>
    <row r="1" spans="1:14" x14ac:dyDescent="0.35">
      <c r="A1" s="6">
        <f>5+MIN(MAX(SUM(A2:A4),-5),0)</f>
        <v>4</v>
      </c>
      <c r="B1" s="46" t="s">
        <v>43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35">
      <c r="A2" s="10">
        <v>0</v>
      </c>
      <c r="B2" s="49" t="s">
        <v>50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35">
      <c r="A3" s="10">
        <v>0</v>
      </c>
      <c r="B3" s="49" t="s">
        <v>51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x14ac:dyDescent="0.35">
      <c r="A4" s="10">
        <v>-1</v>
      </c>
      <c r="B4" s="49" t="s">
        <v>52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14" x14ac:dyDescent="0.35">
      <c r="A5" s="12" t="s">
        <v>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7" spans="1:14" x14ac:dyDescent="0.35">
      <c r="A7" s="6">
        <f>10+MIN(MAX(SUM(A8:A9),-10),0)</f>
        <v>10</v>
      </c>
      <c r="B7" s="46" t="s">
        <v>38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4" x14ac:dyDescent="0.35">
      <c r="A8" s="10">
        <v>0</v>
      </c>
      <c r="B8" s="41" t="s">
        <v>49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x14ac:dyDescent="0.35">
      <c r="A9" s="10">
        <v>0</v>
      </c>
      <c r="B9" s="41" t="s">
        <v>45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 x14ac:dyDescent="0.35">
      <c r="A10" s="12" t="s">
        <v>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x14ac:dyDescent="0.3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x14ac:dyDescent="0.35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 x14ac:dyDescent="0.35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x14ac:dyDescent="0.35"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</sheetData>
  <mergeCells count="13">
    <mergeCell ref="B14:N14"/>
    <mergeCell ref="B10:N10"/>
    <mergeCell ref="B11:N11"/>
    <mergeCell ref="B12:N12"/>
    <mergeCell ref="B13:N13"/>
    <mergeCell ref="B7:N7"/>
    <mergeCell ref="B9:N9"/>
    <mergeCell ref="B1:N1"/>
    <mergeCell ref="B2:N2"/>
    <mergeCell ref="B4:N4"/>
    <mergeCell ref="B5:N5"/>
    <mergeCell ref="B8:N8"/>
    <mergeCell ref="B3:N3"/>
  </mergeCells>
  <pageMargins left="0.7" right="0.7" top="0.75" bottom="0.75" header="0.3" footer="0.3"/>
  <pageSetup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88D4-1473-4C29-9F84-5659BE12F550}">
  <dimension ref="A1:N32"/>
  <sheetViews>
    <sheetView zoomScaleNormal="100" workbookViewId="0"/>
  </sheetViews>
  <sheetFormatPr defaultRowHeight="14.5" x14ac:dyDescent="0.35"/>
  <cols>
    <col min="1" max="1" width="13.453125" style="1" customWidth="1"/>
    <col min="2" max="2" width="55.54296875" style="2" customWidth="1"/>
    <col min="3" max="14" width="5.7265625" customWidth="1"/>
  </cols>
  <sheetData>
    <row r="1" spans="1:14" x14ac:dyDescent="0.35">
      <c r="A1" s="6">
        <f>5+MIN(MAX(SUM(A2:A2),-5),0)</f>
        <v>5</v>
      </c>
      <c r="B1" s="46" t="s">
        <v>42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35">
      <c r="A2" s="10">
        <v>0</v>
      </c>
      <c r="B2" s="49" t="s">
        <v>44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35">
      <c r="A3" s="12" t="s">
        <v>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5" spans="1:14" ht="14.5" customHeight="1" x14ac:dyDescent="0.35">
      <c r="A5" s="6">
        <f>15+MIN(MAX(SUM(A6:A9),-15),0)</f>
        <v>12</v>
      </c>
      <c r="B5" s="46" t="s">
        <v>41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</row>
    <row r="6" spans="1:14" ht="14.5" customHeight="1" x14ac:dyDescent="0.35">
      <c r="A6" s="10">
        <v>0</v>
      </c>
      <c r="B6" s="41" t="s">
        <v>61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ht="14.5" customHeight="1" x14ac:dyDescent="0.35">
      <c r="A7" s="10">
        <v>-3</v>
      </c>
      <c r="B7" s="41" t="s">
        <v>47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4" ht="14.5" customHeight="1" x14ac:dyDescent="0.35">
      <c r="A8" s="10">
        <v>0</v>
      </c>
      <c r="B8" s="41" t="s">
        <v>48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x14ac:dyDescent="0.35">
      <c r="A9" s="10">
        <v>0</v>
      </c>
      <c r="B9" s="41" t="s">
        <v>46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 ht="14.5" customHeight="1" x14ac:dyDescent="0.35">
      <c r="A10" s="12" t="s">
        <v>3</v>
      </c>
      <c r="B10" s="50" t="s">
        <v>95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4.5" customHeight="1" x14ac:dyDescent="0.3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ht="14.5" customHeight="1" x14ac:dyDescent="0.35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 x14ac:dyDescent="0.35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x14ac:dyDescent="0.35"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14" x14ac:dyDescent="0.35"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20" ht="14.5" customHeight="1" x14ac:dyDescent="0.35"/>
    <row r="26" ht="14.5" customHeight="1" x14ac:dyDescent="0.35"/>
    <row r="32" ht="14.5" customHeight="1" x14ac:dyDescent="0.35"/>
  </sheetData>
  <mergeCells count="14">
    <mergeCell ref="B15:N15"/>
    <mergeCell ref="B11:N11"/>
    <mergeCell ref="B12:N12"/>
    <mergeCell ref="B13:N13"/>
    <mergeCell ref="B1:N1"/>
    <mergeCell ref="B2:N2"/>
    <mergeCell ref="B5:N5"/>
    <mergeCell ref="B9:N9"/>
    <mergeCell ref="B14:N14"/>
    <mergeCell ref="B10:N10"/>
    <mergeCell ref="B6:N6"/>
    <mergeCell ref="B7:N7"/>
    <mergeCell ref="B8:N8"/>
    <mergeCell ref="B3:N3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Feedback</vt:lpstr>
      <vt:lpstr>Features</vt:lpstr>
      <vt:lpstr>State Machine &amp; Upd. Controller</vt:lpstr>
      <vt:lpstr>Gherkin Step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2025-11-15T16:25:31Z</dcterms:modified>
</cp:coreProperties>
</file>